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ayfa1" sheetId="1" r:id="rId1"/>
    <sheet name="Sayfa2" sheetId="2" r:id="rId2"/>
    <sheet name="Sayfa3" sheetId="3" r:id="rId3"/>
  </sheets>
  <calcPr calcId="145621"/>
</workbook>
</file>

<file path=xl/calcChain.xml><?xml version="1.0" encoding="utf-8"?>
<calcChain xmlns="http://schemas.openxmlformats.org/spreadsheetml/2006/main">
  <c r="G45" i="1" l="1"/>
  <c r="C45" i="1"/>
  <c r="G37" i="1"/>
  <c r="C35" i="1"/>
  <c r="C37" i="1" s="1"/>
  <c r="C27" i="1"/>
  <c r="G26" i="1"/>
  <c r="G30" i="1" s="1"/>
  <c r="C18" i="1"/>
  <c r="C28" i="1" s="1"/>
  <c r="G12" i="1"/>
  <c r="C12" i="1"/>
  <c r="C10" i="1"/>
  <c r="C29" i="1" l="1"/>
</calcChain>
</file>

<file path=xl/sharedStrings.xml><?xml version="1.0" encoding="utf-8"?>
<sst xmlns="http://schemas.openxmlformats.org/spreadsheetml/2006/main" count="109" uniqueCount="45">
  <si>
    <t>COŞKUN PETROL GÜNLÜK RAPOR</t>
  </si>
  <si>
    <t>PARA HAREKETLERİ</t>
  </si>
  <si>
    <t>AKARYAKIT SATIŞ</t>
  </si>
  <si>
    <t>NAKİT SATIŞ</t>
  </si>
  <si>
    <t>&gt;</t>
  </si>
  <si>
    <t>KURŞUNSUZ VP</t>
  </si>
  <si>
    <t>KREDİLİ SATIŞ</t>
  </si>
  <si>
    <t>VPD</t>
  </si>
  <si>
    <t>VERESİYE</t>
  </si>
  <si>
    <t>LPG</t>
  </si>
  <si>
    <t>ŞİRKET ARAÇLARI</t>
  </si>
  <si>
    <t>PARTNER KART</t>
  </si>
  <si>
    <t>TTS</t>
  </si>
  <si>
    <t>ARIZA FORMU</t>
  </si>
  <si>
    <t>TOPLAM</t>
  </si>
  <si>
    <t>VERİLMESİ GEREKEN</t>
  </si>
  <si>
    <t>NETİCE</t>
  </si>
  <si>
    <t xml:space="preserve"> </t>
  </si>
  <si>
    <t>KASA DURUMU</t>
  </si>
  <si>
    <t>KRD KARTLARI</t>
  </si>
  <si>
    <t>POMPA SATIŞ</t>
  </si>
  <si>
    <t>HALKBANK</t>
  </si>
  <si>
    <t>MARKET SATIŞ</t>
  </si>
  <si>
    <t>VAKIFBANK</t>
  </si>
  <si>
    <t>KRD KARTI</t>
  </si>
  <si>
    <t>FAST</t>
  </si>
  <si>
    <t>PARTNER</t>
  </si>
  <si>
    <t>GIFT KART</t>
  </si>
  <si>
    <t>TÜRKİYE FİNANS</t>
  </si>
  <si>
    <t>KUVEYTTÜRK</t>
  </si>
  <si>
    <t>ŞİRKET FİŞLERİ</t>
  </si>
  <si>
    <t>ALİOĞLU</t>
  </si>
  <si>
    <t>GENEL TOPLAM</t>
  </si>
  <si>
    <t>SLİP TOPLAMI</t>
  </si>
  <si>
    <t>FARK</t>
  </si>
  <si>
    <t>AKARYAKIT ALIŞ</t>
  </si>
  <si>
    <t>NAKİT</t>
  </si>
  <si>
    <t>BANKA YATAN</t>
  </si>
  <si>
    <t>AKARYAKIT ÖDEME</t>
  </si>
  <si>
    <t>AKARYAKIT NAKİT</t>
  </si>
  <si>
    <t>ÜMRANİYE SHELL</t>
  </si>
  <si>
    <t>MARKET NAKİT</t>
  </si>
  <si>
    <t>ÜMRANİYE LPG</t>
  </si>
  <si>
    <t>PERŞEMBE HASILAT</t>
  </si>
  <si>
    <t>CUMA HASILAT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</si>
</sst>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F]d\ mmmm\ yy;@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sz val="14"/>
      <color theme="3"/>
      <name val="Calibri"/>
      <family val="2"/>
      <charset val="162"/>
      <scheme val="minor"/>
    </font>
    <font>
      <sz val="11"/>
      <color theme="3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theme="3"/>
      <name val="Calibri"/>
      <family val="2"/>
      <charset val="162"/>
      <scheme val="minor"/>
    </font>
    <font>
      <sz val="12"/>
      <color rgb="FFFF0000"/>
      <name val="Calibri"/>
      <family val="2"/>
      <charset val="162"/>
      <scheme val="minor"/>
    </font>
    <font>
      <sz val="12"/>
      <color rgb="FFC00000"/>
      <name val="Calibri"/>
      <family val="2"/>
      <charset val="162"/>
      <scheme val="minor"/>
    </font>
    <font>
      <sz val="14"/>
      <color theme="3" tint="-0.249977111117893"/>
      <name val="Calibri"/>
      <family val="2"/>
      <charset val="162"/>
      <scheme val="minor"/>
    </font>
    <font>
      <sz val="11"/>
      <color theme="3" tint="-0.249977111117893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0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2" xfId="0" applyFont="1" applyBorder="1"/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5" xfId="0" applyBorder="1"/>
    <xf numFmtId="0" fontId="0" fillId="0" borderId="0" xfId="0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4" fontId="4" fillId="0" borderId="6" xfId="0" applyNumberFormat="1" applyFont="1" applyBorder="1"/>
    <xf numFmtId="0" fontId="4" fillId="0" borderId="7" xfId="0" applyFont="1" applyBorder="1"/>
    <xf numFmtId="4" fontId="4" fillId="0" borderId="8" xfId="0" applyNumberFormat="1" applyFont="1" applyBorder="1"/>
    <xf numFmtId="0" fontId="5" fillId="0" borderId="0" xfId="0" applyFont="1" applyBorder="1" applyAlignment="1">
      <alignment horizontal="center"/>
    </xf>
    <xf numFmtId="4" fontId="5" fillId="0" borderId="8" xfId="0" applyNumberFormat="1" applyFont="1" applyBorder="1"/>
    <xf numFmtId="4" fontId="6" fillId="0" borderId="8" xfId="0" applyNumberFormat="1" applyFont="1" applyBorder="1"/>
    <xf numFmtId="0" fontId="7" fillId="0" borderId="7" xfId="0" applyFont="1" applyBorder="1"/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7" xfId="0" applyBorder="1"/>
    <xf numFmtId="0" fontId="0" fillId="0" borderId="1" xfId="0" applyBorder="1"/>
    <xf numFmtId="0" fontId="8" fillId="0" borderId="9" xfId="0" applyFont="1" applyBorder="1"/>
    <xf numFmtId="0" fontId="9" fillId="0" borderId="5" xfId="0" applyFont="1" applyBorder="1"/>
    <xf numFmtId="0" fontId="5" fillId="0" borderId="7" xfId="0" applyFont="1" applyBorder="1"/>
    <xf numFmtId="4" fontId="7" fillId="0" borderId="8" xfId="0" applyNumberFormat="1" applyFont="1" applyBorder="1"/>
    <xf numFmtId="0" fontId="4" fillId="0" borderId="8" xfId="0" applyFont="1" applyBorder="1"/>
    <xf numFmtId="4" fontId="4" fillId="0" borderId="8" xfId="0" applyNumberFormat="1" applyFont="1" applyFill="1" applyBorder="1"/>
    <xf numFmtId="0" fontId="6" fillId="0" borderId="7" xfId="0" applyFont="1" applyBorder="1"/>
    <xf numFmtId="4" fontId="1" fillId="0" borderId="0" xfId="0" applyNumberFormat="1" applyFont="1" applyBorder="1"/>
    <xf numFmtId="4" fontId="4" fillId="0" borderId="0" xfId="0" applyNumberFormat="1" applyFont="1" applyBorder="1"/>
    <xf numFmtId="0" fontId="2" fillId="0" borderId="9" xfId="0" applyFont="1" applyBorder="1"/>
    <xf numFmtId="0" fontId="0" fillId="0" borderId="0" xfId="0" applyFill="1" applyBorder="1"/>
    <xf numFmtId="0" fontId="11" fillId="0" borderId="11" xfId="0" applyFont="1" applyBorder="1" applyAlignment="1">
      <alignment horizontal="center"/>
    </xf>
    <xf numFmtId="4" fontId="10" fillId="0" borderId="10" xfId="0" applyNumberFormat="1" applyFont="1" applyFill="1" applyBorder="1" applyAlignment="1">
      <alignment horizontal="right"/>
    </xf>
    <xf numFmtId="4" fontId="10" fillId="0" borderId="10" xfId="0" applyNumberFormat="1" applyFont="1" applyFill="1" applyBorder="1"/>
    <xf numFmtId="3" fontId="10" fillId="0" borderId="10" xfId="0" applyNumberFormat="1" applyFont="1" applyBorder="1" applyAlignment="1">
      <alignment horizontal="center"/>
    </xf>
    <xf numFmtId="3" fontId="10" fillId="0" borderId="10" xfId="0" applyNumberFormat="1" applyFont="1" applyFill="1" applyBorder="1" applyAlignment="1">
      <alignment horizontal="right"/>
    </xf>
    <xf numFmtId="0" fontId="10" fillId="0" borderId="11" xfId="0" applyFont="1" applyBorder="1" applyAlignment="1">
      <alignment horizontal="center"/>
    </xf>
    <xf numFmtId="4" fontId="10" fillId="0" borderId="10" xfId="0" applyNumberFormat="1" applyFont="1" applyFill="1" applyBorder="1" applyAlignment="1">
      <alignment horizontal="right" vertical="center" wrapText="1"/>
    </xf>
    <xf numFmtId="4" fontId="4" fillId="0" borderId="10" xfId="0" applyNumberFormat="1" applyFont="1" applyFill="1" applyBorder="1"/>
    <xf numFmtId="3" fontId="4" fillId="0" borderId="10" xfId="0" applyNumberFormat="1" applyFont="1" applyBorder="1" applyAlignment="1">
      <alignment horizontal="center"/>
    </xf>
    <xf numFmtId="4" fontId="5" fillId="0" borderId="10" xfId="0" applyNumberFormat="1" applyFont="1" applyFill="1" applyBorder="1"/>
    <xf numFmtId="3" fontId="5" fillId="0" borderId="10" xfId="0" applyNumberFormat="1" applyFont="1" applyBorder="1" applyAlignment="1">
      <alignment horizontal="center"/>
    </xf>
    <xf numFmtId="4" fontId="5" fillId="0" borderId="12" xfId="0" applyNumberFormat="1" applyFont="1" applyFill="1" applyBorder="1" applyAlignment="1">
      <alignment horizontal="right"/>
    </xf>
    <xf numFmtId="3" fontId="6" fillId="0" borderId="10" xfId="0" applyNumberFormat="1" applyFont="1" applyBorder="1" applyAlignment="1">
      <alignment horizontal="center"/>
    </xf>
    <xf numFmtId="4" fontId="6" fillId="0" borderId="10" xfId="0" applyNumberFormat="1" applyFont="1" applyFill="1" applyBorder="1"/>
    <xf numFmtId="4" fontId="6" fillId="0" borderId="10" xfId="0" applyNumberFormat="1" applyFont="1" applyFill="1" applyBorder="1" applyAlignment="1">
      <alignment horizontal="right"/>
    </xf>
    <xf numFmtId="4" fontId="2" fillId="0" borderId="10" xfId="0" applyNumberFormat="1" applyFont="1" applyFill="1" applyBorder="1"/>
    <xf numFmtId="0" fontId="4" fillId="0" borderId="10" xfId="0" applyFont="1" applyBorder="1"/>
    <xf numFmtId="0" fontId="0" fillId="0" borderId="10" xfId="0" applyFont="1" applyBorder="1"/>
    <xf numFmtId="4" fontId="4" fillId="0" borderId="10" xfId="0" applyNumberFormat="1" applyFont="1" applyFill="1" applyBorder="1" applyAlignment="1">
      <alignment horizontal="right"/>
    </xf>
    <xf numFmtId="0" fontId="0" fillId="0" borderId="10" xfId="0" applyBorder="1"/>
    <xf numFmtId="164" fontId="4" fillId="0" borderId="13" xfId="0" applyNumberFormat="1" applyFont="1" applyBorder="1"/>
    <xf numFmtId="4" fontId="4" fillId="0" borderId="14" xfId="0" applyNumberFormat="1" applyFont="1" applyBorder="1"/>
    <xf numFmtId="4" fontId="4" fillId="0" borderId="15" xfId="0" applyNumberFormat="1" applyFont="1" applyBorder="1"/>
    <xf numFmtId="4" fontId="6" fillId="0" borderId="15" xfId="0" applyNumberFormat="1" applyFont="1" applyBorder="1"/>
    <xf numFmtId="0" fontId="0" fillId="0" borderId="16" xfId="0" applyBorder="1"/>
    <xf numFmtId="0" fontId="7" fillId="0" borderId="7" xfId="0" applyFont="1" applyFill="1" applyBorder="1"/>
    <xf numFmtId="0" fontId="4" fillId="0" borderId="7" xfId="0" applyFont="1" applyFill="1" applyBorder="1"/>
    <xf numFmtId="0" fontId="6" fillId="0" borderId="7" xfId="0" applyFont="1" applyFill="1" applyBorder="1"/>
    <xf numFmtId="0" fontId="5" fillId="0" borderId="7" xfId="0" applyFont="1" applyFill="1" applyBorder="1"/>
    <xf numFmtId="4" fontId="4" fillId="0" borderId="16" xfId="0" applyNumberFormat="1" applyFont="1" applyBorder="1"/>
    <xf numFmtId="4" fontId="5" fillId="0" borderId="16" xfId="0" applyNumberFormat="1" applyFont="1" applyBorder="1"/>
    <xf numFmtId="0" fontId="2" fillId="0" borderId="7" xfId="0" applyFont="1" applyBorder="1"/>
    <xf numFmtId="0" fontId="10" fillId="0" borderId="17" xfId="0" applyFont="1" applyBorder="1" applyAlignment="1">
      <alignment horizontal="left"/>
    </xf>
    <xf numFmtId="3" fontId="10" fillId="0" borderId="18" xfId="0" applyNumberFormat="1" applyFont="1" applyFill="1" applyBorder="1" applyAlignment="1">
      <alignment horizontal="right"/>
    </xf>
    <xf numFmtId="3" fontId="4" fillId="0" borderId="18" xfId="0" applyNumberFormat="1" applyFont="1" applyFill="1" applyBorder="1" applyAlignment="1">
      <alignment horizontal="right"/>
    </xf>
    <xf numFmtId="4" fontId="5" fillId="0" borderId="17" xfId="0" applyNumberFormat="1" applyFont="1" applyFill="1" applyBorder="1"/>
    <xf numFmtId="4" fontId="10" fillId="0" borderId="17" xfId="0" applyNumberFormat="1" applyFont="1" applyFill="1" applyBorder="1"/>
    <xf numFmtId="4" fontId="6" fillId="0" borderId="17" xfId="0" applyNumberFormat="1" applyFont="1" applyFill="1" applyBorder="1"/>
    <xf numFmtId="3" fontId="6" fillId="0" borderId="18" xfId="0" applyNumberFormat="1" applyFont="1" applyFill="1" applyBorder="1" applyAlignment="1">
      <alignment horizontal="right"/>
    </xf>
    <xf numFmtId="3" fontId="4" fillId="0" borderId="18" xfId="0" applyNumberFormat="1" applyFont="1" applyFill="1" applyBorder="1"/>
    <xf numFmtId="4" fontId="2" fillId="0" borderId="17" xfId="0" applyNumberFormat="1" applyFont="1" applyFill="1" applyBorder="1"/>
    <xf numFmtId="3" fontId="10" fillId="0" borderId="18" xfId="0" applyNumberFormat="1" applyFont="1" applyFill="1" applyBorder="1"/>
    <xf numFmtId="4" fontId="0" fillId="0" borderId="18" xfId="0" applyNumberFormat="1" applyFont="1" applyBorder="1"/>
    <xf numFmtId="4" fontId="4" fillId="0" borderId="18" xfId="0" applyNumberFormat="1" applyFont="1" applyBorder="1"/>
    <xf numFmtId="4" fontId="4" fillId="0" borderId="17" xfId="0" applyNumberFormat="1" applyFont="1" applyFill="1" applyBorder="1"/>
    <xf numFmtId="4" fontId="4" fillId="0" borderId="19" xfId="0" applyNumberFormat="1" applyFont="1" applyBorder="1"/>
    <xf numFmtId="4" fontId="6" fillId="0" borderId="20" xfId="0" applyNumberFormat="1" applyFont="1" applyFill="1" applyBorder="1"/>
    <xf numFmtId="3" fontId="6" fillId="0" borderId="21" xfId="0" applyNumberFormat="1" applyFont="1" applyBorder="1" applyAlignment="1">
      <alignment horizontal="center"/>
    </xf>
    <xf numFmtId="4" fontId="6" fillId="0" borderId="21" xfId="0" applyNumberFormat="1" applyFont="1" applyFill="1" applyBorder="1" applyAlignment="1">
      <alignment horizontal="right"/>
    </xf>
    <xf numFmtId="0" fontId="0" fillId="0" borderId="22" xfId="0" applyBorder="1"/>
    <xf numFmtId="0" fontId="6" fillId="0" borderId="21" xfId="0" applyFont="1" applyBorder="1"/>
    <xf numFmtId="0" fontId="12" fillId="0" borderId="21" xfId="0" applyFont="1" applyBorder="1"/>
    <xf numFmtId="4" fontId="6" fillId="0" borderId="2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topLeftCell="A19" workbookViewId="0">
      <selection activeCell="P17" sqref="P17"/>
    </sheetView>
  </sheetViews>
  <sheetFormatPr defaultRowHeight="15" x14ac:dyDescent="0.25"/>
  <cols>
    <col min="1" max="1" width="23.7109375" customWidth="1"/>
    <col min="2" max="2" width="6.28515625" customWidth="1"/>
    <col min="3" max="3" width="13.140625" bestFit="1" customWidth="1"/>
    <col min="4" max="4" width="6" customWidth="1"/>
    <col min="5" max="5" width="23.140625" bestFit="1" customWidth="1"/>
    <col min="6" max="6" width="6.42578125" customWidth="1"/>
    <col min="7" max="7" width="13.140625" bestFit="1" customWidth="1"/>
  </cols>
  <sheetData>
    <row r="1" spans="1:7" ht="18.75" x14ac:dyDescent="0.3">
      <c r="A1" s="1" t="s">
        <v>0</v>
      </c>
      <c r="B1" s="1"/>
      <c r="C1" s="2"/>
      <c r="D1" s="3"/>
      <c r="E1" s="4"/>
      <c r="F1" s="3"/>
      <c r="G1" s="52">
        <v>46143</v>
      </c>
    </row>
    <row r="2" spans="1:7" ht="18.75" x14ac:dyDescent="0.3">
      <c r="A2" s="30" t="s">
        <v>1</v>
      </c>
      <c r="B2" s="6"/>
      <c r="C2" s="6"/>
      <c r="D2" s="7"/>
      <c r="E2" s="5" t="s">
        <v>2</v>
      </c>
      <c r="F2" s="6"/>
      <c r="G2" s="20"/>
    </row>
    <row r="3" spans="1:7" ht="15.75" x14ac:dyDescent="0.25">
      <c r="A3" s="11" t="s">
        <v>3</v>
      </c>
      <c r="B3" s="9" t="s">
        <v>4</v>
      </c>
      <c r="C3" s="10">
        <v>281355</v>
      </c>
      <c r="D3" s="7"/>
      <c r="E3" s="11" t="s">
        <v>5</v>
      </c>
      <c r="F3" s="9" t="s">
        <v>4</v>
      </c>
      <c r="G3" s="53">
        <v>12963.84</v>
      </c>
    </row>
    <row r="4" spans="1:7" ht="15.75" x14ac:dyDescent="0.25">
      <c r="A4" s="11" t="s">
        <v>6</v>
      </c>
      <c r="B4" s="9" t="s">
        <v>4</v>
      </c>
      <c r="C4" s="12">
        <v>1317641.72</v>
      </c>
      <c r="D4" s="7"/>
      <c r="E4" s="11" t="s">
        <v>7</v>
      </c>
      <c r="F4" s="9" t="s">
        <v>4</v>
      </c>
      <c r="G4" s="54">
        <v>16794.03</v>
      </c>
    </row>
    <row r="5" spans="1:7" ht="15.75" x14ac:dyDescent="0.25">
      <c r="A5" s="11" t="s">
        <v>8</v>
      </c>
      <c r="B5" s="9" t="s">
        <v>4</v>
      </c>
      <c r="C5" s="12">
        <v>0</v>
      </c>
      <c r="D5" s="7"/>
      <c r="E5" s="11" t="s">
        <v>9</v>
      </c>
      <c r="F5" s="9" t="s">
        <v>4</v>
      </c>
      <c r="G5" s="54">
        <v>1386.23</v>
      </c>
    </row>
    <row r="6" spans="1:7" ht="15.75" x14ac:dyDescent="0.25">
      <c r="A6" s="11" t="s">
        <v>10</v>
      </c>
      <c r="B6" s="9" t="s">
        <v>4</v>
      </c>
      <c r="C6" s="12">
        <v>3756.57</v>
      </c>
      <c r="D6" s="7"/>
      <c r="E6" s="11"/>
      <c r="F6" s="9"/>
      <c r="G6" s="54"/>
    </row>
    <row r="7" spans="1:7" ht="15.75" x14ac:dyDescent="0.25">
      <c r="A7" s="11" t="s">
        <v>11</v>
      </c>
      <c r="B7" s="9" t="s">
        <v>4</v>
      </c>
      <c r="C7" s="12">
        <v>0</v>
      </c>
      <c r="D7" s="7"/>
      <c r="E7" s="11"/>
      <c r="F7" s="9"/>
      <c r="G7" s="54"/>
    </row>
    <row r="8" spans="1:7" ht="15.75" x14ac:dyDescent="0.25">
      <c r="A8" s="11" t="s">
        <v>12</v>
      </c>
      <c r="B8" s="9" t="s">
        <v>4</v>
      </c>
      <c r="C8" s="12">
        <v>462065.6</v>
      </c>
      <c r="D8" s="7"/>
      <c r="E8" s="11"/>
      <c r="F8" s="9"/>
      <c r="G8" s="54"/>
    </row>
    <row r="9" spans="1:7" ht="15.75" x14ac:dyDescent="0.25">
      <c r="A9" s="11" t="s">
        <v>13</v>
      </c>
      <c r="B9" s="9" t="s">
        <v>4</v>
      </c>
      <c r="C9" s="12">
        <v>0</v>
      </c>
      <c r="D9" s="7"/>
      <c r="E9" s="11"/>
      <c r="F9" s="9"/>
      <c r="G9" s="54"/>
    </row>
    <row r="10" spans="1:7" ht="15.75" x14ac:dyDescent="0.25">
      <c r="A10" s="23" t="s">
        <v>14</v>
      </c>
      <c r="B10" s="13" t="s">
        <v>4</v>
      </c>
      <c r="C10" s="14">
        <f>SUM(C3:C9)</f>
        <v>2064818.8900000001</v>
      </c>
      <c r="D10" s="7"/>
      <c r="E10" s="11"/>
      <c r="F10" s="9"/>
      <c r="G10" s="54"/>
    </row>
    <row r="11" spans="1:7" ht="15.75" x14ac:dyDescent="0.25">
      <c r="A11" s="27" t="s">
        <v>15</v>
      </c>
      <c r="B11" s="9" t="s">
        <v>4</v>
      </c>
      <c r="C11" s="15">
        <v>2064817.77</v>
      </c>
      <c r="D11" s="7"/>
      <c r="E11" s="11"/>
      <c r="F11" s="9"/>
      <c r="G11" s="54"/>
    </row>
    <row r="12" spans="1:7" ht="15.75" x14ac:dyDescent="0.25">
      <c r="A12" s="11" t="s">
        <v>16</v>
      </c>
      <c r="B12" s="9" t="s">
        <v>4</v>
      </c>
      <c r="C12" s="12">
        <f>(C10-C11)</f>
        <v>1.1200000001117587</v>
      </c>
      <c r="D12" s="7"/>
      <c r="E12" s="16" t="s">
        <v>14</v>
      </c>
      <c r="F12" s="17" t="s">
        <v>4</v>
      </c>
      <c r="G12" s="55">
        <f>SUM(G3:G11)</f>
        <v>31144.1</v>
      </c>
    </row>
    <row r="13" spans="1:7" ht="15.75" x14ac:dyDescent="0.25">
      <c r="A13" s="27" t="s">
        <v>17</v>
      </c>
      <c r="B13" s="18"/>
      <c r="C13" s="15" t="s">
        <v>17</v>
      </c>
      <c r="D13" s="7"/>
      <c r="E13" s="19"/>
      <c r="F13" s="7"/>
      <c r="G13" s="56"/>
    </row>
    <row r="14" spans="1:7" ht="18.75" x14ac:dyDescent="0.3">
      <c r="A14" s="30" t="s">
        <v>18</v>
      </c>
      <c r="B14" s="6"/>
      <c r="C14" s="6"/>
      <c r="D14" s="20"/>
      <c r="E14" s="21" t="s">
        <v>19</v>
      </c>
      <c r="F14" s="22"/>
      <c r="G14" s="20"/>
    </row>
    <row r="15" spans="1:7" x14ac:dyDescent="0.25">
      <c r="A15" s="19"/>
      <c r="B15" s="7"/>
      <c r="C15" s="7"/>
      <c r="D15" s="7"/>
      <c r="E15" s="19"/>
      <c r="F15" s="7"/>
      <c r="G15" s="56"/>
    </row>
    <row r="16" spans="1:7" ht="15.75" x14ac:dyDescent="0.25">
      <c r="A16" s="11" t="s">
        <v>20</v>
      </c>
      <c r="B16" s="9" t="s">
        <v>4</v>
      </c>
      <c r="C16" s="12">
        <v>2064817.77</v>
      </c>
      <c r="D16" s="7"/>
      <c r="E16" s="23" t="s">
        <v>21</v>
      </c>
      <c r="F16" s="13" t="s">
        <v>4</v>
      </c>
      <c r="G16" s="54">
        <v>723815.91</v>
      </c>
    </row>
    <row r="17" spans="1:7" ht="15.75" x14ac:dyDescent="0.25">
      <c r="A17" s="11" t="s">
        <v>22</v>
      </c>
      <c r="B17" s="9" t="s">
        <v>4</v>
      </c>
      <c r="C17" s="12">
        <v>166499</v>
      </c>
      <c r="D17" s="7"/>
      <c r="E17" s="23" t="s">
        <v>23</v>
      </c>
      <c r="F17" s="13" t="s">
        <v>4</v>
      </c>
      <c r="G17" s="54">
        <v>593825.81000000006</v>
      </c>
    </row>
    <row r="18" spans="1:7" ht="15.75" x14ac:dyDescent="0.25">
      <c r="A18" s="57" t="s">
        <v>14</v>
      </c>
      <c r="B18" s="17" t="s">
        <v>4</v>
      </c>
      <c r="C18" s="24">
        <f>SUM(C16:C17)</f>
        <v>2231316.77</v>
      </c>
      <c r="D18" s="7"/>
      <c r="E18" s="23"/>
      <c r="F18" s="13"/>
      <c r="G18" s="54"/>
    </row>
    <row r="19" spans="1:7" ht="15.75" x14ac:dyDescent="0.25">
      <c r="A19" s="11"/>
      <c r="B19" s="9"/>
      <c r="C19" s="25"/>
      <c r="D19" s="7"/>
      <c r="E19" s="23"/>
      <c r="F19" s="13"/>
      <c r="G19" s="54"/>
    </row>
    <row r="20" spans="1:7" ht="15.75" x14ac:dyDescent="0.25">
      <c r="A20" s="58" t="s">
        <v>24</v>
      </c>
      <c r="B20" s="9" t="s">
        <v>4</v>
      </c>
      <c r="C20" s="12">
        <v>1439404.72</v>
      </c>
      <c r="D20" s="7"/>
      <c r="E20" s="23"/>
      <c r="F20" s="13"/>
      <c r="G20" s="54"/>
    </row>
    <row r="21" spans="1:7" ht="15.75" x14ac:dyDescent="0.25">
      <c r="A21" s="58" t="s">
        <v>12</v>
      </c>
      <c r="B21" s="9" t="s">
        <v>4</v>
      </c>
      <c r="C21" s="26">
        <v>455881.31</v>
      </c>
      <c r="D21" s="7"/>
      <c r="E21" s="23" t="s">
        <v>25</v>
      </c>
      <c r="F21" s="13" t="s">
        <v>4</v>
      </c>
      <c r="G21" s="54">
        <v>6594</v>
      </c>
    </row>
    <row r="22" spans="1:7" ht="15.75" x14ac:dyDescent="0.25">
      <c r="A22" s="58" t="s">
        <v>26</v>
      </c>
      <c r="B22" s="9" t="s">
        <v>4</v>
      </c>
      <c r="C22" s="26">
        <v>0</v>
      </c>
      <c r="D22" s="7"/>
      <c r="E22" s="23" t="s">
        <v>21</v>
      </c>
      <c r="F22" s="13" t="s">
        <v>4</v>
      </c>
      <c r="G22" s="54">
        <v>16253</v>
      </c>
    </row>
    <row r="23" spans="1:7" ht="15.75" x14ac:dyDescent="0.25">
      <c r="A23" s="58" t="s">
        <v>27</v>
      </c>
      <c r="B23" s="9" t="s">
        <v>4</v>
      </c>
      <c r="C23" s="26">
        <v>6184.29</v>
      </c>
      <c r="D23" s="7"/>
      <c r="E23" s="23" t="s">
        <v>28</v>
      </c>
      <c r="F23" s="13" t="s">
        <v>4</v>
      </c>
      <c r="G23" s="54">
        <v>96561</v>
      </c>
    </row>
    <row r="24" spans="1:7" ht="15.75" x14ac:dyDescent="0.25">
      <c r="A24" s="58" t="s">
        <v>13</v>
      </c>
      <c r="B24" s="9" t="s">
        <v>4</v>
      </c>
      <c r="C24" s="26">
        <v>0</v>
      </c>
      <c r="D24" s="7"/>
      <c r="E24" s="23" t="s">
        <v>29</v>
      </c>
      <c r="F24" s="13" t="s">
        <v>4</v>
      </c>
      <c r="G24" s="54">
        <v>2355</v>
      </c>
    </row>
    <row r="25" spans="1:7" ht="15.75" x14ac:dyDescent="0.25">
      <c r="A25" s="58" t="s">
        <v>30</v>
      </c>
      <c r="B25" s="9" t="s">
        <v>4</v>
      </c>
      <c r="C25" s="26">
        <v>3756.57</v>
      </c>
      <c r="D25" s="7"/>
      <c r="E25" s="23"/>
      <c r="F25" s="13"/>
      <c r="G25" s="54"/>
    </row>
    <row r="26" spans="1:7" ht="15.75" x14ac:dyDescent="0.25">
      <c r="A26" s="58" t="s">
        <v>31</v>
      </c>
      <c r="B26" s="9" t="s">
        <v>4</v>
      </c>
      <c r="C26" s="26">
        <v>0</v>
      </c>
      <c r="D26" s="7"/>
      <c r="E26" s="27" t="s">
        <v>32</v>
      </c>
      <c r="F26" s="18" t="s">
        <v>4</v>
      </c>
      <c r="G26" s="54">
        <f>SUM(G15:G25)</f>
        <v>1439404.7200000002</v>
      </c>
    </row>
    <row r="27" spans="1:7" ht="15.75" x14ac:dyDescent="0.25">
      <c r="A27" s="59" t="s">
        <v>14</v>
      </c>
      <c r="B27" s="18" t="s">
        <v>4</v>
      </c>
      <c r="C27" s="15">
        <f>SUM(C20:C26)</f>
        <v>1905226.8900000001</v>
      </c>
      <c r="D27" s="7"/>
      <c r="E27" s="23"/>
      <c r="F27" s="13"/>
      <c r="G27" s="54">
        <v>0</v>
      </c>
    </row>
    <row r="28" spans="1:7" ht="15.75" x14ac:dyDescent="0.25">
      <c r="A28" s="60" t="s">
        <v>16</v>
      </c>
      <c r="B28" s="13" t="s">
        <v>4</v>
      </c>
      <c r="C28" s="14">
        <f>SUM(C18-C27)</f>
        <v>326089.87999999989</v>
      </c>
      <c r="D28" s="7"/>
      <c r="E28" s="27" t="s">
        <v>33</v>
      </c>
      <c r="F28" s="18" t="s">
        <v>4</v>
      </c>
      <c r="G28" s="55">
        <v>1439404.72</v>
      </c>
    </row>
    <row r="29" spans="1:7" ht="15.75" x14ac:dyDescent="0.25">
      <c r="A29" s="59" t="s">
        <v>14</v>
      </c>
      <c r="B29" s="18" t="s">
        <v>4</v>
      </c>
      <c r="C29" s="28">
        <f>SUM(C27:C28)</f>
        <v>2231316.77</v>
      </c>
      <c r="D29" s="7"/>
      <c r="E29" s="11"/>
      <c r="F29" s="9"/>
      <c r="G29" s="61"/>
    </row>
    <row r="30" spans="1:7" ht="15.75" x14ac:dyDescent="0.25">
      <c r="A30" s="58" t="s">
        <v>17</v>
      </c>
      <c r="B30" s="8"/>
      <c r="C30" s="29"/>
      <c r="D30" s="7"/>
      <c r="E30" s="23" t="s">
        <v>34</v>
      </c>
      <c r="F30" s="13" t="s">
        <v>4</v>
      </c>
      <c r="G30" s="62">
        <f>SUM(G28-G26)</f>
        <v>-2.3283064365386963E-10</v>
      </c>
    </row>
    <row r="31" spans="1:7" ht="18.75" x14ac:dyDescent="0.3">
      <c r="A31" s="30" t="s">
        <v>22</v>
      </c>
      <c r="B31" s="6"/>
      <c r="C31" s="6"/>
      <c r="D31" s="6"/>
      <c r="E31" s="30" t="s">
        <v>35</v>
      </c>
      <c r="F31" s="6"/>
      <c r="G31" s="20" t="s">
        <v>17</v>
      </c>
    </row>
    <row r="32" spans="1:7" ht="18.75" x14ac:dyDescent="0.3">
      <c r="A32" s="63"/>
      <c r="B32" s="7"/>
      <c r="C32" s="31"/>
      <c r="D32" s="7"/>
      <c r="E32" s="4"/>
      <c r="F32" s="7"/>
      <c r="G32" s="56"/>
    </row>
    <row r="33" spans="1:7" ht="15.75" x14ac:dyDescent="0.25">
      <c r="A33" s="64" t="s">
        <v>36</v>
      </c>
      <c r="B33" s="32"/>
      <c r="C33" s="33">
        <v>44735</v>
      </c>
      <c r="D33" s="7" t="s">
        <v>17</v>
      </c>
      <c r="E33" s="34" t="s">
        <v>5</v>
      </c>
      <c r="F33" s="35"/>
      <c r="G33" s="65">
        <v>29000</v>
      </c>
    </row>
    <row r="34" spans="1:7" ht="15.75" x14ac:dyDescent="0.25">
      <c r="A34" s="64" t="s">
        <v>24</v>
      </c>
      <c r="B34" s="37"/>
      <c r="C34" s="38">
        <v>121763</v>
      </c>
      <c r="D34" s="7"/>
      <c r="E34" s="39" t="s">
        <v>7</v>
      </c>
      <c r="F34" s="40"/>
      <c r="G34" s="66">
        <v>38000</v>
      </c>
    </row>
    <row r="35" spans="1:7" ht="15.75" x14ac:dyDescent="0.25">
      <c r="A35" s="67" t="s">
        <v>14</v>
      </c>
      <c r="B35" s="42"/>
      <c r="C35" s="43">
        <f>SUM(C33:C34)</f>
        <v>166498</v>
      </c>
      <c r="D35" s="7" t="s">
        <v>17</v>
      </c>
      <c r="E35" s="39"/>
      <c r="F35" s="40"/>
      <c r="G35" s="66"/>
    </row>
    <row r="36" spans="1:7" ht="15.75" x14ac:dyDescent="0.25">
      <c r="A36" s="68" t="s">
        <v>15</v>
      </c>
      <c r="B36" s="35"/>
      <c r="C36" s="33">
        <v>166499</v>
      </c>
      <c r="D36" s="7"/>
      <c r="E36" s="39"/>
      <c r="F36" s="44"/>
      <c r="G36" s="66"/>
    </row>
    <row r="37" spans="1:7" ht="15.75" x14ac:dyDescent="0.25">
      <c r="A37" s="69" t="s">
        <v>16</v>
      </c>
      <c r="B37" s="35"/>
      <c r="C37" s="46">
        <f>SUM(C35-C36)</f>
        <v>-1</v>
      </c>
      <c r="D37" s="7"/>
      <c r="E37" s="45" t="s">
        <v>14</v>
      </c>
      <c r="F37" s="44"/>
      <c r="G37" s="70">
        <f>SUM(G33:G36)</f>
        <v>67000</v>
      </c>
    </row>
    <row r="38" spans="1:7" ht="15.75" x14ac:dyDescent="0.25">
      <c r="A38" s="67"/>
      <c r="B38" s="35"/>
      <c r="C38" s="36"/>
      <c r="D38" s="7"/>
      <c r="E38" s="34"/>
      <c r="F38" s="35"/>
      <c r="G38" s="71"/>
    </row>
    <row r="39" spans="1:7" ht="18.75" x14ac:dyDescent="0.3">
      <c r="A39" s="72"/>
      <c r="B39" s="35"/>
      <c r="C39" s="33" t="s">
        <v>17</v>
      </c>
      <c r="D39" s="7"/>
      <c r="E39" s="41" t="s">
        <v>17</v>
      </c>
      <c r="F39" s="35"/>
      <c r="G39" s="71" t="s">
        <v>17</v>
      </c>
    </row>
    <row r="40" spans="1:7" ht="18.75" x14ac:dyDescent="0.3">
      <c r="A40" s="72" t="s">
        <v>37</v>
      </c>
      <c r="B40" s="35"/>
      <c r="C40" s="33" t="s">
        <v>17</v>
      </c>
      <c r="D40" s="7"/>
      <c r="E40" s="47" t="s">
        <v>38</v>
      </c>
      <c r="F40" s="35"/>
      <c r="G40" s="73" t="s">
        <v>17</v>
      </c>
    </row>
    <row r="41" spans="1:7" ht="15.75" x14ac:dyDescent="0.25">
      <c r="A41" s="68"/>
      <c r="B41" s="35"/>
      <c r="C41" s="33"/>
      <c r="D41" s="7"/>
      <c r="E41" s="48" t="s">
        <v>17</v>
      </c>
      <c r="F41" s="49"/>
      <c r="G41" s="74" t="s">
        <v>17</v>
      </c>
    </row>
    <row r="42" spans="1:7" ht="15.75" x14ac:dyDescent="0.25">
      <c r="A42" s="68" t="s">
        <v>39</v>
      </c>
      <c r="B42" s="35"/>
      <c r="C42" s="33">
        <v>281355</v>
      </c>
      <c r="D42" s="7"/>
      <c r="E42" s="48" t="s">
        <v>40</v>
      </c>
      <c r="F42" s="49"/>
      <c r="G42" s="75">
        <v>0</v>
      </c>
    </row>
    <row r="43" spans="1:7" ht="15.75" x14ac:dyDescent="0.25">
      <c r="A43" s="76" t="s">
        <v>41</v>
      </c>
      <c r="B43" s="40"/>
      <c r="C43" s="50">
        <v>44735</v>
      </c>
      <c r="D43" s="7"/>
      <c r="E43" s="48" t="s">
        <v>42</v>
      </c>
      <c r="F43" s="51"/>
      <c r="G43" s="77">
        <v>0</v>
      </c>
    </row>
    <row r="44" spans="1:7" ht="15.75" x14ac:dyDescent="0.25">
      <c r="A44" s="76" t="s">
        <v>43</v>
      </c>
      <c r="B44" s="40"/>
      <c r="C44" s="50">
        <v>387215</v>
      </c>
      <c r="D44" s="7"/>
      <c r="E44" s="48"/>
      <c r="F44" s="51"/>
      <c r="G44" s="77"/>
    </row>
    <row r="45" spans="1:7" ht="15.75" x14ac:dyDescent="0.25">
      <c r="A45" s="78" t="s">
        <v>44</v>
      </c>
      <c r="B45" s="79"/>
      <c r="C45" s="80">
        <f>SUM(C42:C44)</f>
        <v>713305</v>
      </c>
      <c r="D45" s="81"/>
      <c r="E45" s="82" t="s">
        <v>14</v>
      </c>
      <c r="F45" s="83"/>
      <c r="G45" s="84">
        <f>SUM(G41:G43)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2026-05-02T08:28:50Z</dcterms:modified>
</cp:coreProperties>
</file>