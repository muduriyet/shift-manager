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Code\shift-manager\tmp-analysis\"/>
    </mc:Choice>
  </mc:AlternateContent>
  <xr:revisionPtr revIDLastSave="0" documentId="13_ncr:1_{B7C14C22-D0E7-4302-AB6E-A099B0048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H10" i="2"/>
  <c r="G10" i="2"/>
  <c r="E10" i="2"/>
  <c r="D10" i="2"/>
  <c r="D48" i="2" l="1"/>
  <c r="C48" i="2"/>
  <c r="B48" i="2"/>
  <c r="A48" i="2"/>
  <c r="C10" i="2"/>
  <c r="B10" i="2"/>
  <c r="F10" i="2" s="1"/>
  <c r="A10" i="2"/>
  <c r="H5" i="2"/>
  <c r="E5" i="2"/>
  <c r="C5" i="2"/>
  <c r="A5" i="2"/>
</calcChain>
</file>

<file path=xl/sharedStrings.xml><?xml version="1.0" encoding="utf-8"?>
<sst xmlns="http://schemas.openxmlformats.org/spreadsheetml/2006/main" count="40" uniqueCount="37">
  <si>
    <t>Tarih</t>
  </si>
  <si>
    <t>Benzin (Litre)</t>
  </si>
  <si>
    <t>Motorin (Litre)</t>
  </si>
  <si>
    <t>LPG (Litre)</t>
  </si>
  <si>
    <t>Toplam Satış (TL)</t>
  </si>
  <si>
    <t>Kredi Kartı Satışı (TL)</t>
  </si>
  <si>
    <t>Nakit Satış (TL)</t>
  </si>
  <si>
    <t>Akaryakıt Satış Dashboard</t>
  </si>
  <si>
    <t>Tarih Aralığı:</t>
  </si>
  <si>
    <t>Toplam Litre (B+M+L)</t>
  </si>
  <si>
    <t>Kart/Nakit Oranı (Kart %)</t>
  </si>
  <si>
    <t>Litre Başına Ortalama Gelir (TL/L)</t>
  </si>
  <si>
    <t>Günlük Özet</t>
  </si>
  <si>
    <t>Toplam Satış</t>
  </si>
  <si>
    <t>Kredi Kartı</t>
  </si>
  <si>
    <t>Nakit</t>
  </si>
  <si>
    <t>Yakıt Türüne Göre Litre</t>
  </si>
  <si>
    <t>Benzin (L)</t>
  </si>
  <si>
    <t>Motorin (L)</t>
  </si>
  <si>
    <t>LPG (L)</t>
  </si>
  <si>
    <t>31.10.2025 - 30.11.2025</t>
  </si>
  <si>
    <t>TTS(TL)</t>
  </si>
  <si>
    <t>PARTNER(TL)</t>
  </si>
  <si>
    <t>GIFT(TL)</t>
  </si>
  <si>
    <t>ARZA FORMU(TL)</t>
  </si>
  <si>
    <t>ŞİRKET(TL)</t>
  </si>
  <si>
    <t>ALİOĞLU(TL)</t>
  </si>
  <si>
    <t>TTS/PARTNER/GIFT/ARZA</t>
  </si>
  <si>
    <t>ŞİRKET</t>
  </si>
  <si>
    <t>ALİOĞLU</t>
  </si>
  <si>
    <t>DİZEL SATIŞ FİYATI</t>
  </si>
  <si>
    <t>BENZİN SATIŞ FİYATI</t>
  </si>
  <si>
    <t>LPG SATIŞ FİYATI</t>
  </si>
  <si>
    <t>HESAPLANAN SATIŞ</t>
  </si>
  <si>
    <t>TOPLAM LİTRE</t>
  </si>
  <si>
    <t>TTS ORAN</t>
  </si>
  <si>
    <t>Smart/İndirim ()TL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</si>
</sst>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555555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43" fontId="0" fillId="0" borderId="0" xfId="1" applyFont="1"/>
    <xf numFmtId="0" fontId="6" fillId="0" borderId="0" xfId="0" applyFont="1"/>
    <xf numFmtId="14" fontId="0" fillId="0" borderId="0" xfId="1" applyNumberFormat="1" applyFont="1"/>
    <xf numFmtId="2" fontId="4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43" fontId="0" fillId="0" borderId="0" xfId="0" applyNumberFormat="1"/>
    <xf numFmtId="43" fontId="4" fillId="0" borderId="1" xfId="1" applyFont="1" applyBorder="1" applyAlignment="1">
      <alignment horizontal="center"/>
    </xf>
    <xf numFmtId="14" fontId="7" fillId="0" borderId="1" xfId="0" applyNumberFormat="1" applyFont="1" applyBorder="1"/>
    <xf numFmtId="43" fontId="7" fillId="0" borderId="1" xfId="1" applyFont="1" applyBorder="1"/>
    <xf numFmtId="43" fontId="8" fillId="0" borderId="1" xfId="1" applyFont="1" applyBorder="1" applyAlignment="1">
      <alignment horizontal="right"/>
    </xf>
    <xf numFmtId="43" fontId="7" fillId="0" borderId="1" xfId="1" applyFont="1" applyBorder="1" applyAlignment="1">
      <alignment horizontal="right"/>
    </xf>
    <xf numFmtId="43" fontId="7" fillId="0" borderId="1" xfId="0" applyNumberFormat="1" applyFont="1" applyBorder="1"/>
    <xf numFmtId="14" fontId="0" fillId="3" borderId="0" xfId="1" applyNumberFormat="1" applyFont="1" applyFill="1"/>
    <xf numFmtId="43" fontId="0" fillId="3" borderId="0" xfId="1" applyFont="1" applyFill="1"/>
    <xf numFmtId="43" fontId="0" fillId="3" borderId="0" xfId="0" applyNumberFormat="1" applyFill="1"/>
    <xf numFmtId="10" fontId="1" fillId="0" borderId="0" xfId="0" applyNumberFormat="1" applyFont="1" applyAlignment="1">
      <alignment horizontal="center"/>
    </xf>
    <xf numFmtId="14" fontId="0" fillId="0" borderId="0" xfId="1" applyNumberFormat="1" applyFont="1" applyFill="1" applyBorder="1"/>
    <xf numFmtId="43" fontId="0" fillId="0" borderId="0" xfId="1" applyFont="1" applyFill="1" applyBorder="1"/>
    <xf numFmtId="14" fontId="0" fillId="3" borderId="0" xfId="1" applyNumberFormat="1" applyFont="1" applyFill="1" applyBorder="1"/>
    <xf numFmtId="43" fontId="0" fillId="3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Günlük Toplam Satış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f>Dashboard!$B$10</c:f>
              <c:numCache>
                <c:formatCode>_(* #,##0.00_);_(* \(#,##0.00\);_(* "-"??_);_(@_)</c:formatCode>
                <c:ptCount val="1"/>
                <c:pt idx="0">
                  <c:v>2064817.77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64-4801-83A0-1BDFCCC0B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Tarih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Ödeme Dağılımı (Günlük)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Dashboard!$A$10</c15:sqref>
                  </c15:fullRef>
                </c:ext>
              </c:extLst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Dashboard!$C$10</c15:sqref>
                  </c15:fullRef>
                </c:ext>
              </c:extLst>
              <c:f>Dashboard!$C$10</c:f>
              <c:numCache>
                <c:formatCode>_(* #,##0.00_);_(* \(#,##0.00\);_(* "-"??_);_(@_)</c:formatCode>
                <c:ptCount val="1"/>
                <c:pt idx="0">
                  <c:v>1317641.72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8-4C14-B1F2-52A4A3C492F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Dashboard!$A$10</c15:sqref>
                  </c15:fullRef>
                </c:ext>
              </c:extLst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Dashboard!$D$10</c15:sqref>
                  </c15:fullRef>
                </c:ext>
              </c:extLst>
              <c:f>Dashboard!$D$10</c:f>
              <c:numCache>
                <c:formatCode>_(* #,##0.00_);_(* \(#,##0.00\);_(* "-"??_);_(@_)</c:formatCode>
                <c:ptCount val="1"/>
                <c:pt idx="0">
                  <c:v>281355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8-4C14-B1F2-52A4A3C492F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Dashboard!$A$10</c15:sqref>
                  </c15:fullRef>
                </c:ext>
              </c:extLst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Dashboard!$E$10</c15:sqref>
                  </c15:fullRef>
                </c:ext>
              </c:extLst>
              <c:f>Dashboard!$E$10</c:f>
              <c:numCache>
                <c:formatCode>_(* #,##0.00_);_(* \(#,##0.00\);_(* "-"??_);_(@_)</c:formatCode>
                <c:ptCount val="1"/>
                <c:pt idx="0">
                  <c:v>465822.17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8-4C14-B1F2-52A4A3C492F2}"/>
            </c:ext>
          </c:extLst>
        </c:ser>
        <c:ser>
          <c:idx val="3"/>
          <c:order val="3"/>
          <c:tx>
            <c:v>Şirket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Dashboard!$A$10</c15:sqref>
                  </c15:fullRef>
                </c:ext>
              </c:extLst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Dashboard!$G$10:$G$45</c15:sqref>
                  </c15:fullRef>
                </c:ext>
              </c:extLst>
              <c:f>Dashboard!$G$10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8-4C14-B1F2-52A4A3C492F2}"/>
            </c:ext>
          </c:extLst>
        </c:ser>
        <c:ser>
          <c:idx val="4"/>
          <c:order val="4"/>
          <c:tx>
            <c:v>Alioğlu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Dashboard!$A$10</c15:sqref>
                  </c15:fullRef>
                </c:ext>
              </c:extLst>
              <c:f>Dashboard!$A$10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Dashboard!$H$10:$H$45</c15:sqref>
                  </c15:fullRef>
                </c:ext>
              </c:extLst>
              <c:f>Dashboard!$H$10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18-4C14-B1F2-52A4A3C492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0020001"/>
        <c:axId val="50020002"/>
      </c:barChart>
      <c:dateAx>
        <c:axId val="5002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Tarih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5002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Günlük Litre Trendleri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Dashboard!$A$48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f>Dashboard!$B$48</c:f>
              <c:numCache>
                <c:formatCode>_(* #,##0.00_);_(* \(#,##0.00\);_(* "-"??_);_(@_)</c:formatCode>
                <c:ptCount val="1"/>
                <c:pt idx="0">
                  <c:v>12963.84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0-4987-B2F8-D1524E1C4E6F}"/>
            </c:ext>
          </c:extLst>
        </c:ser>
        <c:ser>
          <c:idx val="1"/>
          <c:order val="1"/>
          <c:cat>
            <c:numRef>
              <c:f>Dashboard!$A$48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f>Dashboard!$C$48</c:f>
              <c:numCache>
                <c:formatCode>_(* #,##0.00_);_(* \(#,##0.00\);_(* "-"??_);_(@_)</c:formatCode>
                <c:ptCount val="1"/>
                <c:pt idx="0">
                  <c:v>16794.03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0-4987-B2F8-D1524E1C4E6F}"/>
            </c:ext>
          </c:extLst>
        </c:ser>
        <c:ser>
          <c:idx val="2"/>
          <c:order val="2"/>
          <c:cat>
            <c:numRef>
              <c:f>Dashboard!$A$48</c:f>
              <c:numCache>
                <c:formatCode>m/d/yyyy</c:formatCode>
                <c:ptCount val="1"/>
                <c:pt idx="0">
                  <c:v>46143</c:v>
                </c:pt>
              </c:numCache>
            </c:numRef>
          </c:cat>
          <c:val>
            <c:numRef>
              <c:f>Dashboard!$D$48</c:f>
              <c:numCache>
                <c:formatCode>_(* #,##0.00_);_(* \(#,##0.00\);_(* "-"??_);_(@_)</c:formatCode>
                <c:ptCount val="1"/>
                <c:pt idx="0">
                  <c:v>1386.23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0-4987-B2F8-D1524E1C4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Tarih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Litre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127634</xdr:colOff>
      <xdr:row>1</xdr:row>
      <xdr:rowOff>140969</xdr:rowOff>
    </xdr:from>
    <xdr:to>
      <xdr:col>26</xdr:col>
      <xdr:colOff>407669</xdr:colOff>
      <xdr:row>31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131444</xdr:colOff>
      <xdr:row>33</xdr:row>
      <xdr:rowOff>15240</xdr:rowOff>
    </xdr:from>
    <xdr:to>
      <xdr:col>26</xdr:col>
      <xdr:colOff>380999</xdr:colOff>
      <xdr:row>79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41909</xdr:colOff>
      <xdr:row>85</xdr:row>
      <xdr:rowOff>9797</xdr:rowOff>
    </xdr:from>
    <xdr:to>
      <xdr:col>26</xdr:col>
      <xdr:colOff>304799</xdr:colOff>
      <xdr:row>118</xdr:row>
      <xdr:rowOff>25309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zoomScale="85" zoomScaleNormal="85" workbookViewId="0">
      <selection activeCell="L2" sqref="G2:L2"/>
    </sheetView>
  </sheetViews>
  <sheetFormatPr defaultRowHeight="14.4" x14ac:dyDescent="0.3"/>
  <cols>
    <col min="1" max="1" width="12.6640625" style="1" customWidth="1"/>
    <col min="2" max="4" width="16.6640625" style="2" customWidth="1"/>
    <col min="5" max="5" width="15.44140625" style="2" bestFit="1" customWidth="1"/>
    <col min="6" max="6" width="19.77734375" style="2" customWidth="1"/>
    <col min="7" max="8" width="18.6640625" style="2" customWidth="1"/>
    <col min="9" max="9" width="14.6640625" customWidth="1"/>
    <col min="10" max="10" width="15.33203125" customWidth="1"/>
    <col min="11" max="11" width="11.44140625" customWidth="1"/>
    <col min="12" max="12" width="17.6640625" customWidth="1"/>
    <col min="13" max="13" width="11.77734375" customWidth="1"/>
    <col min="14" max="14" width="14.21875" customWidth="1"/>
    <col min="15" max="15" width="16.77734375" bestFit="1" customWidth="1"/>
    <col min="16" max="16" width="20.6640625" customWidth="1"/>
    <col min="17" max="17" width="17" customWidth="1"/>
    <col min="18" max="18" width="20.5546875" customWidth="1"/>
    <col min="19" max="19" width="13.4414062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36</v>
      </c>
      <c r="G1" s="3" t="s">
        <v>5</v>
      </c>
      <c r="H1" s="3" t="s">
        <v>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</row>
    <row r="2" spans="1:19" ht="15.6" x14ac:dyDescent="0.3">
      <c r="A2" s="13">
        <v>46143</v>
      </c>
      <c r="B2" s="14">
        <v>12963.84</v>
      </c>
      <c r="C2" s="14">
        <v>16794.03</v>
      </c>
      <c r="D2" s="14">
        <v>1386.23</v>
      </c>
      <c r="E2" s="14">
        <v>2064817.77</v>
      </c>
      <c r="F2" s="14">
        <v>9861.11</v>
      </c>
      <c r="G2" s="14">
        <v>1317641.72</v>
      </c>
      <c r="H2" s="15">
        <v>281355</v>
      </c>
      <c r="I2" s="14">
        <v>455881.31</v>
      </c>
      <c r="J2" s="14">
        <v>0</v>
      </c>
      <c r="K2" s="14">
        <v>6184.29</v>
      </c>
      <c r="L2" s="14">
        <v>3756.57</v>
      </c>
      <c r="M2" s="14">
        <v>0</v>
      </c>
      <c r="N2" s="14">
        <v>0</v>
      </c>
      <c r="O2" s="16">
        <v>71.540000000000006</v>
      </c>
      <c r="P2" s="16">
        <v>63.62</v>
      </c>
      <c r="Q2" s="16">
        <v>36.35</v>
      </c>
      <c r="R2" s="14">
        <f>O2*C2+P2*B2+D2*Q2</f>
        <v>2076593.8675000002</v>
      </c>
      <c r="S2" s="17">
        <f>B2+C2+D2</f>
        <v>31144.1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topLeftCell="A27" zoomScale="70" zoomScaleNormal="70" workbookViewId="0">
      <selection activeCell="E13" sqref="E13"/>
    </sheetView>
  </sheetViews>
  <sheetFormatPr defaultRowHeight="14.4" x14ac:dyDescent="0.3"/>
  <cols>
    <col min="1" max="1" width="20.109375" customWidth="1"/>
    <col min="2" max="3" width="24.6640625" customWidth="1"/>
    <col min="4" max="4" width="12.21875" bestFit="1" customWidth="1"/>
    <col min="5" max="5" width="26.6640625" customWidth="1"/>
    <col min="6" max="6" width="16.5546875" customWidth="1"/>
    <col min="7" max="7" width="14" customWidth="1"/>
    <col min="8" max="8" width="27.88671875" customWidth="1"/>
  </cols>
  <sheetData>
    <row r="1" spans="1:8" ht="21" x14ac:dyDescent="0.4">
      <c r="A1" s="4" t="s">
        <v>7</v>
      </c>
    </row>
    <row r="2" spans="1:8" x14ac:dyDescent="0.3">
      <c r="A2" s="5" t="s">
        <v>8</v>
      </c>
      <c r="B2" s="7" t="s">
        <v>20</v>
      </c>
    </row>
    <row r="4" spans="1:8" x14ac:dyDescent="0.3">
      <c r="A4" s="5" t="s">
        <v>4</v>
      </c>
      <c r="C4" s="5" t="s">
        <v>9</v>
      </c>
      <c r="E4" s="5" t="s">
        <v>10</v>
      </c>
      <c r="F4" s="5"/>
      <c r="H4" s="5" t="s">
        <v>11</v>
      </c>
    </row>
    <row r="5" spans="1:8" ht="18" x14ac:dyDescent="0.35">
      <c r="A5" s="12">
        <f>SUM(Data!E:E)</f>
        <v>2064817.77</v>
      </c>
      <c r="C5" s="12">
        <f>SUM(Data!B:B)+SUM(Data!C:C)+SUM(Data!D:D)</f>
        <v>31144.1</v>
      </c>
      <c r="E5" s="10">
        <f>IFERROR(SUM(Data!G:G)/SUM(Data!E:E),0)</f>
        <v>0.63813947126191184</v>
      </c>
      <c r="F5" s="21"/>
      <c r="H5" s="9">
        <f>IFERROR(SUM(Data!E:E)/(SUM(Data!B:B)+SUM(Data!C:C)+SUM(Data!D:D)),0)</f>
        <v>66.298842156299273</v>
      </c>
    </row>
    <row r="8" spans="1:8" x14ac:dyDescent="0.3">
      <c r="A8" s="3" t="s">
        <v>12</v>
      </c>
    </row>
    <row r="9" spans="1:8" x14ac:dyDescent="0.3">
      <c r="A9" s="3" t="s">
        <v>0</v>
      </c>
      <c r="B9" s="3" t="s">
        <v>13</v>
      </c>
      <c r="C9" s="3" t="s">
        <v>14</v>
      </c>
      <c r="D9" s="3" t="s">
        <v>15</v>
      </c>
      <c r="E9" s="3" t="s">
        <v>27</v>
      </c>
      <c r="F9" s="3" t="s">
        <v>35</v>
      </c>
      <c r="G9" s="3" t="s">
        <v>28</v>
      </c>
      <c r="H9" s="3" t="s">
        <v>29</v>
      </c>
    </row>
    <row r="10" spans="1:8" x14ac:dyDescent="0.3">
      <c r="A10" s="8">
        <f>Data!A2</f>
        <v>46143</v>
      </c>
      <c r="B10" s="6">
        <f>Data!E2</f>
        <v>2064817.77</v>
      </c>
      <c r="C10" s="6">
        <f>Data!G2</f>
        <v>1317641.72</v>
      </c>
      <c r="D10" s="6">
        <f>Data!H2</f>
        <v>281355</v>
      </c>
      <c r="E10" s="11">
        <f>Data!I2+Data!J2+Data!K2+Data!L2</f>
        <v>465822.17</v>
      </c>
      <c r="F10" s="11">
        <f xml:space="preserve"> E10/B10</f>
        <v>0.22559965182787051</v>
      </c>
      <c r="G10" s="11">
        <f>Data!M2</f>
        <v>0</v>
      </c>
      <c r="H10" s="11">
        <f>Data!N2</f>
        <v>0</v>
      </c>
    </row>
    <row r="11" spans="1:8" x14ac:dyDescent="0.3">
      <c r="A11" s="8"/>
      <c r="B11" s="6"/>
      <c r="C11" s="6"/>
      <c r="D11" s="6"/>
      <c r="E11" s="11"/>
      <c r="F11" s="11"/>
      <c r="G11" s="11"/>
      <c r="H11" s="11"/>
    </row>
    <row r="12" spans="1:8" x14ac:dyDescent="0.3">
      <c r="A12" s="8"/>
      <c r="B12" s="6"/>
      <c r="C12" s="6"/>
      <c r="D12" s="6"/>
      <c r="E12" s="11"/>
      <c r="F12" s="11"/>
      <c r="G12" s="11"/>
      <c r="H12" s="11"/>
    </row>
    <row r="13" spans="1:8" x14ac:dyDescent="0.3">
      <c r="A13" s="18"/>
      <c r="B13" s="19"/>
      <c r="C13" s="19"/>
      <c r="D13" s="19"/>
      <c r="E13" s="20"/>
      <c r="F13" s="20"/>
      <c r="G13" s="20"/>
      <c r="H13" s="20"/>
    </row>
    <row r="14" spans="1:8" x14ac:dyDescent="0.3">
      <c r="A14" s="8"/>
      <c r="B14" s="6"/>
      <c r="C14" s="6"/>
      <c r="D14" s="6"/>
      <c r="E14" s="11"/>
      <c r="F14" s="11"/>
      <c r="G14" s="11"/>
      <c r="H14" s="11"/>
    </row>
    <row r="15" spans="1:8" x14ac:dyDescent="0.3">
      <c r="A15" s="8"/>
      <c r="B15" s="6"/>
      <c r="C15" s="6"/>
      <c r="D15" s="6"/>
      <c r="E15" s="11"/>
      <c r="F15" s="11"/>
      <c r="G15" s="11"/>
      <c r="H15" s="11"/>
    </row>
    <row r="16" spans="1:8" x14ac:dyDescent="0.3">
      <c r="A16" s="8"/>
      <c r="B16" s="6"/>
      <c r="C16" s="6"/>
      <c r="D16" s="6"/>
      <c r="E16" s="11"/>
      <c r="F16" s="11"/>
      <c r="G16" s="11"/>
      <c r="H16" s="11"/>
    </row>
    <row r="17" spans="1:8" x14ac:dyDescent="0.3">
      <c r="A17" s="8"/>
      <c r="B17" s="6"/>
      <c r="C17" s="6"/>
      <c r="D17" s="6"/>
      <c r="E17" s="11"/>
      <c r="F17" s="11"/>
      <c r="G17" s="11"/>
      <c r="H17" s="11"/>
    </row>
    <row r="18" spans="1:8" x14ac:dyDescent="0.3">
      <c r="A18" s="8"/>
      <c r="B18" s="6"/>
      <c r="C18" s="6"/>
      <c r="D18" s="6"/>
      <c r="E18" s="11"/>
      <c r="F18" s="11"/>
      <c r="G18" s="11"/>
      <c r="H18" s="11"/>
    </row>
    <row r="19" spans="1:8" x14ac:dyDescent="0.3">
      <c r="A19" s="8"/>
      <c r="B19" s="6"/>
      <c r="C19" s="6"/>
      <c r="D19" s="6"/>
      <c r="E19" s="11"/>
      <c r="F19" s="11"/>
      <c r="G19" s="11"/>
      <c r="H19" s="11"/>
    </row>
    <row r="20" spans="1:8" x14ac:dyDescent="0.3">
      <c r="A20" s="8"/>
      <c r="B20" s="6"/>
      <c r="C20" s="6"/>
      <c r="D20" s="6"/>
      <c r="E20" s="11"/>
      <c r="F20" s="11"/>
      <c r="G20" s="11"/>
      <c r="H20" s="11"/>
    </row>
    <row r="21" spans="1:8" x14ac:dyDescent="0.3">
      <c r="A21" s="18"/>
      <c r="B21" s="19"/>
      <c r="C21" s="19"/>
      <c r="D21" s="19"/>
      <c r="E21" s="20"/>
      <c r="F21" s="20"/>
      <c r="G21" s="20"/>
      <c r="H21" s="20"/>
    </row>
    <row r="22" spans="1:8" x14ac:dyDescent="0.3">
      <c r="A22" s="22"/>
      <c r="B22" s="23"/>
      <c r="C22" s="23"/>
      <c r="D22" s="23"/>
      <c r="E22" s="11"/>
      <c r="F22" s="11"/>
      <c r="G22" s="11"/>
      <c r="H22" s="11"/>
    </row>
    <row r="23" spans="1:8" x14ac:dyDescent="0.3">
      <c r="A23" s="24"/>
      <c r="B23" s="25"/>
      <c r="C23" s="25"/>
      <c r="D23" s="25"/>
      <c r="E23" s="20"/>
      <c r="F23" s="20"/>
      <c r="G23" s="20"/>
      <c r="H23" s="20"/>
    </row>
    <row r="24" spans="1:8" x14ac:dyDescent="0.3">
      <c r="A24" s="22"/>
      <c r="B24" s="23"/>
      <c r="C24" s="23"/>
      <c r="D24" s="23"/>
      <c r="E24" s="11"/>
      <c r="F24" s="11"/>
      <c r="G24" s="11"/>
      <c r="H24" s="11"/>
    </row>
    <row r="25" spans="1:8" x14ac:dyDescent="0.3">
      <c r="A25" s="22"/>
      <c r="B25" s="23"/>
      <c r="C25" s="23"/>
      <c r="D25" s="23"/>
      <c r="E25" s="11"/>
      <c r="F25" s="11"/>
      <c r="G25" s="11"/>
      <c r="H25" s="11"/>
    </row>
    <row r="26" spans="1:8" x14ac:dyDescent="0.3">
      <c r="A26" s="22"/>
      <c r="B26" s="23"/>
      <c r="C26" s="23"/>
      <c r="D26" s="23"/>
      <c r="E26" s="11"/>
      <c r="F26" s="11"/>
      <c r="G26" s="11"/>
      <c r="H26" s="11"/>
    </row>
    <row r="27" spans="1:8" x14ac:dyDescent="0.3">
      <c r="A27" s="22"/>
      <c r="B27" s="23"/>
      <c r="C27" s="23"/>
      <c r="D27" s="23"/>
      <c r="E27" s="11"/>
      <c r="F27" s="11"/>
      <c r="G27" s="11"/>
      <c r="H27" s="11"/>
    </row>
    <row r="28" spans="1:8" x14ac:dyDescent="0.3">
      <c r="A28" s="22"/>
      <c r="B28" s="23"/>
      <c r="C28" s="23"/>
      <c r="D28" s="23"/>
      <c r="E28" s="11"/>
      <c r="F28" s="11"/>
      <c r="G28" s="11"/>
      <c r="H28" s="11"/>
    </row>
    <row r="29" spans="1:8" x14ac:dyDescent="0.3">
      <c r="A29" s="22"/>
      <c r="B29" s="23"/>
      <c r="C29" s="23"/>
      <c r="D29" s="23"/>
      <c r="E29" s="11"/>
      <c r="F29" s="11"/>
      <c r="G29" s="11"/>
      <c r="H29" s="11"/>
    </row>
    <row r="30" spans="1:8" x14ac:dyDescent="0.3">
      <c r="A30" s="22"/>
      <c r="B30" s="23"/>
      <c r="C30" s="23"/>
      <c r="D30" s="23"/>
      <c r="E30" s="11"/>
      <c r="F30" s="11"/>
      <c r="G30" s="11"/>
      <c r="H30" s="11"/>
    </row>
    <row r="46" spans="1:4" x14ac:dyDescent="0.3">
      <c r="A46" s="3" t="s">
        <v>16</v>
      </c>
    </row>
    <row r="47" spans="1:4" x14ac:dyDescent="0.3">
      <c r="A47" s="3" t="s">
        <v>0</v>
      </c>
      <c r="B47" s="3" t="s">
        <v>17</v>
      </c>
      <c r="C47" s="3" t="s">
        <v>18</v>
      </c>
      <c r="D47" s="3" t="s">
        <v>19</v>
      </c>
    </row>
    <row r="48" spans="1:4" x14ac:dyDescent="0.3">
      <c r="A48" s="8">
        <f>Data!A2</f>
        <v>46143</v>
      </c>
      <c r="B48" s="6">
        <f>Data!B2</f>
        <v>12963.84</v>
      </c>
      <c r="C48" s="6">
        <f>Data!C2</f>
        <v>16794.03</v>
      </c>
      <c r="D48" s="6">
        <f>Data!D2</f>
        <v>1386.23</v>
      </c>
    </row>
    <row r="49" spans="1:4" x14ac:dyDescent="0.3">
      <c r="A49" s="8"/>
      <c r="B49" s="6"/>
      <c r="C49" s="6"/>
      <c r="D49" s="6"/>
    </row>
    <row r="50" spans="1:4" x14ac:dyDescent="0.3">
      <c r="A50" s="8"/>
      <c r="B50" s="6"/>
      <c r="C50" s="6"/>
      <c r="D50" s="6"/>
    </row>
    <row r="51" spans="1:4" x14ac:dyDescent="0.3">
      <c r="A51" s="8"/>
      <c r="B51" s="6"/>
      <c r="C51" s="6"/>
      <c r="D51" s="6"/>
    </row>
    <row r="52" spans="1:4" x14ac:dyDescent="0.3">
      <c r="A52" s="8"/>
      <c r="B52" s="6"/>
      <c r="C52" s="6"/>
      <c r="D52" s="6"/>
    </row>
    <row r="53" spans="1:4" x14ac:dyDescent="0.3">
      <c r="A53" s="8"/>
      <c r="B53" s="6"/>
      <c r="C53" s="6"/>
      <c r="D53" s="6"/>
    </row>
    <row r="54" spans="1:4" x14ac:dyDescent="0.3">
      <c r="A54" s="8"/>
      <c r="B54" s="6"/>
      <c r="C54" s="6"/>
      <c r="D54" s="6"/>
    </row>
    <row r="55" spans="1:4" x14ac:dyDescent="0.3">
      <c r="A55" s="8"/>
      <c r="B55" s="6"/>
      <c r="C55" s="6"/>
      <c r="D55" s="6"/>
    </row>
    <row r="56" spans="1:4" x14ac:dyDescent="0.3">
      <c r="A56" s="8"/>
      <c r="B56" s="6"/>
      <c r="C56" s="6"/>
      <c r="D56" s="6"/>
    </row>
    <row r="57" spans="1:4" x14ac:dyDescent="0.3">
      <c r="A57" s="8"/>
      <c r="B57" s="6"/>
      <c r="C57" s="6"/>
      <c r="D57" s="6"/>
    </row>
    <row r="58" spans="1:4" x14ac:dyDescent="0.3">
      <c r="A58" s="8"/>
      <c r="B58" s="6"/>
      <c r="C58" s="6"/>
      <c r="D58" s="6"/>
    </row>
    <row r="59" spans="1:4" x14ac:dyDescent="0.3">
      <c r="A59" s="8"/>
      <c r="B59" s="6"/>
      <c r="C59" s="6"/>
      <c r="D59" s="6"/>
    </row>
    <row r="60" spans="1:4" x14ac:dyDescent="0.3">
      <c r="A60" s="8"/>
      <c r="B60" s="6"/>
      <c r="C60" s="6"/>
      <c r="D60" s="6"/>
    </row>
    <row r="61" spans="1:4" x14ac:dyDescent="0.3">
      <c r="A61" s="8"/>
      <c r="B61" s="6"/>
      <c r="C61" s="6"/>
      <c r="D61" s="6"/>
    </row>
    <row r="62" spans="1:4" x14ac:dyDescent="0.3">
      <c r="A62" s="8"/>
      <c r="B62" s="6"/>
      <c r="C62" s="6"/>
      <c r="D62" s="6"/>
    </row>
    <row r="63" spans="1:4" x14ac:dyDescent="0.3">
      <c r="A63" s="8"/>
      <c r="B63" s="6"/>
      <c r="C63" s="6"/>
      <c r="D63" s="6"/>
    </row>
    <row r="64" spans="1:4" x14ac:dyDescent="0.3">
      <c r="A64" s="8"/>
      <c r="B64" s="6"/>
      <c r="C64" s="6"/>
      <c r="D64" s="6"/>
    </row>
    <row r="65" spans="1:4" x14ac:dyDescent="0.3">
      <c r="A65" s="8"/>
      <c r="B65" s="6"/>
      <c r="C65" s="6"/>
      <c r="D65" s="6"/>
    </row>
    <row r="66" spans="1:4" x14ac:dyDescent="0.3">
      <c r="A66" s="8"/>
      <c r="B66" s="6"/>
      <c r="C66" s="6"/>
      <c r="D66" s="6"/>
    </row>
    <row r="67" spans="1:4" x14ac:dyDescent="0.3">
      <c r="A67" s="8"/>
      <c r="B67" s="6"/>
      <c r="C67" s="6"/>
      <c r="D67" s="6"/>
    </row>
    <row r="68" spans="1:4" x14ac:dyDescent="0.3">
      <c r="A68" s="8"/>
      <c r="B68" s="6"/>
      <c r="C68" s="6"/>
      <c r="D6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Coşkun</dc:creator>
  <cp:lastModifiedBy>Mert Coşkun</cp:lastModifiedBy>
  <dcterms:created xsi:type="dcterms:W3CDTF">2025-11-01T11:57:27Z</dcterms:created>
  <dcterms:modified xsi:type="dcterms:W3CDTF">2026-06-16T20:03:11Z</dcterms:modified>
</cp:coreProperties>
</file>